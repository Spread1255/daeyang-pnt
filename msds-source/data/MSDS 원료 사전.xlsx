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원료 사전" sheetId="1" state="visible" r:id="rId1"/>
    <sheet xmlns:r="http://schemas.openxmlformats.org/officeDocument/2006/relationships" name="제품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40" customWidth="1" min="3" max="3"/>
    <col width="42" customWidth="1" min="4" max="4"/>
    <col width="22" customWidth="1" min="5" max="5"/>
    <col width="28" customWidth="1" min="6" max="6"/>
    <col width="14" customWidth="1" min="7" max="7"/>
    <col width="40" customWidth="1" min="8" max="8"/>
  </cols>
  <sheetData>
    <row r="1">
      <c r="A1" s="1" t="inlineStr">
        <is>
          <t>원료명</t>
        </is>
      </c>
      <c r="B1" s="1" t="inlineStr">
        <is>
          <t>CAS</t>
        </is>
      </c>
      <c r="C1" s="1" t="inlineStr">
        <is>
          <t>KOSHA 물질명</t>
        </is>
      </c>
      <c r="D1" s="1" t="inlineStr">
        <is>
          <t>KOSHA 유해성 분류</t>
        </is>
      </c>
      <c r="E1" s="1" t="inlineStr">
        <is>
          <t>H코드</t>
        </is>
      </c>
      <c r="F1" s="1" t="inlineStr">
        <is>
          <t>국내 노출기준</t>
        </is>
      </c>
      <c r="G1" s="1" t="inlineStr">
        <is>
          <t>ACGIH</t>
        </is>
      </c>
      <c r="H1" s="1" t="inlineStr">
        <is>
          <t>비고</t>
        </is>
      </c>
    </row>
    <row r="2">
      <c r="A2" s="2" t="inlineStr">
        <is>
          <t>HC7803</t>
        </is>
      </c>
      <c r="B2" s="2" t="inlineStr">
        <is>
          <t>27923-68-8</t>
        </is>
      </c>
      <c r="C2" s="2" t="inlineStr">
        <is>
          <t>1,4-벤젠다이카복실산, 2,2-다이메틸-1,3-프로판디이올 및 1,2-에탄다이올이 함유된 1,3-벤젠다이카복실산 중합체</t>
        </is>
      </c>
      <c r="D2" s="2" t="inlineStr">
        <is>
          <t>자료없음</t>
        </is>
      </c>
      <c r="E2" s="2" t="inlineStr">
        <is>
          <t>-</t>
        </is>
      </c>
      <c r="F2" s="2" t="inlineStr">
        <is>
          <t>-</t>
        </is>
      </c>
      <c r="G2" s="2" t="inlineStr">
        <is>
          <t>-</t>
        </is>
      </c>
      <c r="H2" s="2" t="inlineStr">
        <is>
          <t>수지(폴리에스테르)</t>
        </is>
      </c>
    </row>
    <row r="3">
      <c r="A3" s="2" t="inlineStr">
        <is>
          <t>HC6011</t>
        </is>
      </c>
      <c r="B3" s="2" t="inlineStr">
        <is>
          <t>114267-10-6</t>
        </is>
      </c>
      <c r="C3" s="2" t="inlineStr">
        <is>
          <t>(KOSHA 결과 없음)</t>
        </is>
      </c>
      <c r="D3" s="2" t="inlineStr">
        <is>
          <t>-</t>
        </is>
      </c>
      <c r="E3" s="2" t="inlineStr">
        <is>
          <t>-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수지(폴리에스테르), CAS 파일: HC6011/M201-6</t>
        </is>
      </c>
    </row>
    <row r="4">
      <c r="A4" s="2" t="inlineStr">
        <is>
          <t>HC5803</t>
        </is>
      </c>
      <c r="B4" s="2" t="inlineStr">
        <is>
          <t>114267-10-6</t>
        </is>
      </c>
      <c r="C4" s="2" t="inlineStr">
        <is>
          <t>(KOSHA 결과 없음)</t>
        </is>
      </c>
      <c r="D4" s="2" t="inlineStr">
        <is>
          <t>-</t>
        </is>
      </c>
      <c r="E4" s="2" t="inlineStr">
        <is>
          <t>-</t>
        </is>
      </c>
      <c r="F4" s="2" t="inlineStr">
        <is>
          <t>-</t>
        </is>
      </c>
      <c r="G4" s="2" t="inlineStr">
        <is>
          <t>-</t>
        </is>
      </c>
      <c r="H4" s="2" t="inlineStr">
        <is>
          <t>수지(폴리에스테르)</t>
        </is>
      </c>
    </row>
    <row r="5">
      <c r="A5" s="2" t="inlineStr">
        <is>
          <t>HC6805</t>
        </is>
      </c>
      <c r="B5" s="2" t="inlineStr">
        <is>
          <t>114267-10-6</t>
        </is>
      </c>
      <c r="C5" s="2" t="inlineStr">
        <is>
          <t>(KOSHA 결과 없음)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수지(폴리에스테르)</t>
        </is>
      </c>
    </row>
    <row r="6">
      <c r="A6" s="2" t="inlineStr">
        <is>
          <t>PC2802</t>
        </is>
      </c>
      <c r="B6" s="2" t="inlineStr">
        <is>
          <t>40471-09-8</t>
        </is>
      </c>
      <c r="C6" s="2" t="inlineStr">
        <is>
          <t>1,4-벤젠다이카복실산, 2,2-다이메틸-1,3-프로판다이올, 1,2-에탄다이올 및 헥산다이오산 함유 1,3-벤젠다이카복실산 중합체</t>
        </is>
      </c>
      <c r="D6" s="2" t="inlineStr">
        <is>
          <t>자료없음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수지(폴리에스테르, 외장)</t>
        </is>
      </c>
    </row>
    <row r="7">
      <c r="A7" s="2" t="inlineStr">
        <is>
          <t>YD013K</t>
        </is>
      </c>
      <c r="B7" s="2" t="inlineStr">
        <is>
          <t>25036-25-3</t>
        </is>
      </c>
      <c r="C7" s="2" t="inlineStr">
        <is>
          <t>비스페놀 A-비스페놀 A 디글리시딜 에테르 중합체</t>
        </is>
      </c>
      <c r="D7" s="2" t="inlineStr">
        <is>
          <t>자료없음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수지(에폭시)</t>
        </is>
      </c>
    </row>
    <row r="8">
      <c r="A8" s="2" t="inlineStr">
        <is>
          <t>KER3002</t>
        </is>
      </c>
      <c r="B8" s="2" t="inlineStr">
        <is>
          <t>25036-25-3</t>
        </is>
      </c>
      <c r="C8" s="2" t="inlineStr">
        <is>
          <t>비스페놀 A-비스페놀 A 디글리시딜 에테르 중합체</t>
        </is>
      </c>
      <c r="D8" s="2" t="inlineStr">
        <is>
          <t>자료없음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  <c r="H8" s="2" t="inlineStr">
        <is>
          <t>수지(에폭시) = YD013K (사용자 확인)</t>
        </is>
      </c>
    </row>
    <row r="9">
      <c r="A9" s="2" t="inlineStr">
        <is>
          <t>KER3003</t>
        </is>
      </c>
      <c r="B9" s="2" t="inlineStr">
        <is>
          <t>25036-25-3</t>
        </is>
      </c>
      <c r="C9" s="2" t="inlineStr">
        <is>
          <t>비스페놀 A-비스페놀 A 디글리시딜 에테르 중합체</t>
        </is>
      </c>
      <c r="D9" s="2" t="inlineStr">
        <is>
          <t>자료없음</t>
        </is>
      </c>
      <c r="E9" s="2" t="inlineStr">
        <is>
          <t>-</t>
        </is>
      </c>
      <c r="F9" s="2" t="inlineStr">
        <is>
          <t>-</t>
        </is>
      </c>
      <c r="G9" s="2" t="inlineStr">
        <is>
          <t>-</t>
        </is>
      </c>
      <c r="H9" s="2" t="inlineStr">
        <is>
          <t>수지(에폭시) = YD013K (사용자 확인)</t>
        </is>
      </c>
    </row>
    <row r="10">
      <c r="A10" s="2" t="inlineStr">
        <is>
          <t>KER3005K</t>
        </is>
      </c>
      <c r="B10" s="2" t="inlineStr">
        <is>
          <t>25036-25-3</t>
        </is>
      </c>
      <c r="C10" s="2" t="inlineStr">
        <is>
          <t>비스페놀 A-비스페놀 A 디글리시딜 에테르 중합체</t>
        </is>
      </c>
      <c r="D10" s="2" t="inlineStr">
        <is>
          <t>자료없음</t>
        </is>
      </c>
      <c r="E10" s="2" t="inlineStr">
        <is>
          <t>-</t>
        </is>
      </c>
      <c r="F10" s="2" t="inlineStr">
        <is>
          <t>-</t>
        </is>
      </c>
      <c r="G10" s="2" t="inlineStr">
        <is>
          <t>-</t>
        </is>
      </c>
      <c r="H10" s="2" t="inlineStr">
        <is>
          <t>수지(에폭시) — CAS 파일에 없음, 금호피앤비(KER3003과 같은 제조사)·이전 배합 KD-214M 대체 → YD013K로 추정, 확인 필요</t>
        </is>
      </c>
    </row>
    <row r="11">
      <c r="A11" s="2" t="inlineStr">
        <is>
          <t>AD P964</t>
        </is>
      </c>
      <c r="B11" s="2" t="inlineStr">
        <is>
          <t>25214-38-4</t>
        </is>
      </c>
      <c r="C11" s="2" t="inlineStr">
        <is>
          <t>(KOSHA 결과 없음)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2" t="inlineStr">
        <is>
          <t>CAS 파일: TC001/AD P964</t>
        </is>
      </c>
    </row>
    <row r="12">
      <c r="A12" s="2" t="inlineStr">
        <is>
          <t>XG603-1A</t>
        </is>
      </c>
      <c r="B12" s="2" t="inlineStr">
        <is>
          <t>54553-90-1</t>
        </is>
      </c>
      <c r="C12" s="2" t="inlineStr">
        <is>
          <t>benzene-1,2,4,5-tetracarboxylic acid, compound with 4,5-dihydro-2-phenyl-1H-imidazole (1:1)</t>
        </is>
      </c>
      <c r="D12" s="2" t="inlineStr">
        <is>
          <t>자료없음</t>
        </is>
      </c>
      <c r="E12" s="2" t="inlineStr">
        <is>
          <t>-</t>
        </is>
      </c>
      <c r="F12" s="2" t="inlineStr">
        <is>
          <t>-</t>
        </is>
      </c>
      <c r="G12" s="2" t="inlineStr">
        <is>
          <t>-</t>
        </is>
      </c>
      <c r="H12" s="2" t="inlineStr">
        <is>
          <t>경화제</t>
        </is>
      </c>
    </row>
    <row r="13">
      <c r="A13" s="2" t="inlineStr">
        <is>
          <t>PCA-501</t>
        </is>
      </c>
      <c r="B13" s="2" t="inlineStr">
        <is>
          <t>6334-25-4</t>
        </is>
      </c>
      <c r="C13" s="2" t="inlineStr">
        <is>
          <t>N,N,N`,N`-Tetrakis(2-hydroxyethyl)adipamide</t>
        </is>
      </c>
      <c r="D13" s="2" t="inlineStr">
        <is>
          <t>자료없음</t>
        </is>
      </c>
      <c r="E13" s="2" t="inlineStr">
        <is>
          <t>-</t>
        </is>
      </c>
      <c r="F13" s="2" t="inlineStr">
        <is>
          <t>-</t>
        </is>
      </c>
      <c r="G13" s="2" t="inlineStr">
        <is>
          <t>-</t>
        </is>
      </c>
      <c r="H13" s="2" t="inlineStr">
        <is>
          <t>경화제(HAA), CAS 파일: PCA-501/XL-552</t>
        </is>
      </c>
    </row>
    <row r="14">
      <c r="A14" s="2" t="inlineStr">
        <is>
          <t>LA-100</t>
        </is>
      </c>
      <c r="B14" s="2" t="inlineStr">
        <is>
          <t>9003-49-0</t>
        </is>
      </c>
      <c r="C14" s="2" t="inlineStr">
        <is>
          <t>폴리뷰틸 아크릴산(POLYBUTYL ACRYLATE)</t>
        </is>
      </c>
      <c r="D14" s="2" t="inlineStr">
        <is>
          <t>자료없음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-</t>
        </is>
      </c>
      <c r="H14" s="2" t="inlineStr">
        <is>
          <t>레벨링제, 이전 Sheet1: LA-100/BYK-368P/L88</t>
        </is>
      </c>
    </row>
    <row r="15">
      <c r="A15" s="2" t="inlineStr">
        <is>
          <t>L-88</t>
        </is>
      </c>
      <c r="B15" s="2" t="inlineStr">
        <is>
          <t>9003-49-0</t>
        </is>
      </c>
      <c r="C15" s="2" t="inlineStr">
        <is>
          <t>폴리뷰틸 아크릴산(POLYBUTYL ACRYLATE)</t>
        </is>
      </c>
      <c r="D15" s="2" t="inlineStr">
        <is>
          <t>자료없음</t>
        </is>
      </c>
      <c r="E15" s="2" t="inlineStr">
        <is>
          <t>-</t>
        </is>
      </c>
      <c r="F15" s="2" t="inlineStr">
        <is>
          <t>-</t>
        </is>
      </c>
      <c r="G15" s="2" t="inlineStr">
        <is>
          <t>-</t>
        </is>
      </c>
      <c r="H15" s="2" t="inlineStr">
        <is>
          <t>레벨링제</t>
        </is>
      </c>
    </row>
    <row r="16">
      <c r="A16" s="2" t="inlineStr">
        <is>
          <t>BENZOIN</t>
        </is>
      </c>
      <c r="B16" s="2" t="inlineStr">
        <is>
          <t>119-53-9</t>
        </is>
      </c>
      <c r="C16" s="2" t="inlineStr">
        <is>
          <t>벤조인</t>
        </is>
      </c>
      <c r="D16" s="2" t="inlineStr">
        <is>
          <t>자료없음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탈포제</t>
        </is>
      </c>
    </row>
    <row r="17">
      <c r="A17" s="2" t="inlineStr">
        <is>
          <t>JS-250</t>
        </is>
      </c>
      <c r="B17" s="2" t="inlineStr">
        <is>
          <t>9002-88-4</t>
        </is>
      </c>
      <c r="C17" s="2" t="inlineStr">
        <is>
          <t>폴리에틸렌(POLYETHYLENE)</t>
        </is>
      </c>
      <c r="D17" s="2" t="inlineStr">
        <is>
          <t>자료없음</t>
        </is>
      </c>
      <c r="E17" s="2" t="inlineStr">
        <is>
          <t>-</t>
        </is>
      </c>
      <c r="F17" s="2" t="inlineStr">
        <is>
          <t>-</t>
        </is>
      </c>
      <c r="G17" s="2" t="inlineStr">
        <is>
          <t>-</t>
        </is>
      </c>
      <c r="H17" s="2" t="inlineStr">
        <is>
          <t>왁스(PE)</t>
        </is>
      </c>
    </row>
    <row r="18">
      <c r="A18" s="2" t="inlineStr">
        <is>
          <t>CERA-969</t>
        </is>
      </c>
      <c r="B18" s="2" t="inlineStr">
        <is>
          <t>9002-88-4</t>
        </is>
      </c>
      <c r="C18" s="2" t="inlineStr">
        <is>
          <t>폴리에틸렌(POLYETHYLENE)</t>
        </is>
      </c>
      <c r="D18" s="2" t="inlineStr">
        <is>
          <t>자료없음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왁스(PE), 이전 Sheet1에만 있음 (CERA-994와 같은 칸)</t>
        </is>
      </c>
    </row>
    <row r="19">
      <c r="A19" s="2" t="inlineStr">
        <is>
          <t>VISCOGEL</t>
        </is>
      </c>
      <c r="B19" s="2" t="inlineStr">
        <is>
          <t>68953-58-2</t>
        </is>
      </c>
      <c r="C19" s="2" t="inlineStr">
        <is>
          <t>4차 암모늄 화합물, 비스(수소산 수지 알킬) 다이메틸, 벤토나이트와의 염(QUATERNARY AMMONIUM...</t>
        </is>
      </c>
      <c r="D19" s="2" t="inlineStr">
        <is>
          <t>심한 눈 손상성/눈 자극성 : 구분2</t>
        </is>
      </c>
      <c r="E19" s="2" t="inlineStr">
        <is>
          <t>H319</t>
        </is>
      </c>
      <c r="F19" s="2" t="inlineStr">
        <is>
          <t>-</t>
        </is>
      </c>
      <c r="G19" s="2" t="inlineStr">
        <is>
          <t>-</t>
        </is>
      </c>
      <c r="H19" s="2" t="inlineStr">
        <is>
          <t>텍스처제(유기점토)</t>
        </is>
      </c>
    </row>
    <row r="20">
      <c r="A20" s="2" t="inlineStr">
        <is>
          <t>AHA-2139</t>
        </is>
      </c>
      <c r="B20" s="2" t="inlineStr">
        <is>
          <t>9010-77-9</t>
        </is>
      </c>
      <c r="C20" s="2" t="inlineStr">
        <is>
          <t>아크릴산-에틸렌 공중합체(ACRYLIC ACID-ETHYLENE COPOLYMER)</t>
        </is>
      </c>
      <c r="D20" s="2" t="inlineStr">
        <is>
          <t>피부 부식성/피부 자극성 : 구분2; 심한 눈 손상성/눈 자극성 : 구분2; 특정표적장기 독성(1회 노출) : 구분3(호흡기 자극)</t>
        </is>
      </c>
      <c r="E20" s="2" t="inlineStr">
        <is>
          <t>H315 H319 H335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첨가제</t>
        </is>
      </c>
    </row>
    <row r="21">
      <c r="A21" s="2" t="inlineStr">
        <is>
          <t>CT-0230</t>
        </is>
      </c>
      <c r="B21" s="2" t="inlineStr">
        <is>
          <t>60621-79-6</t>
        </is>
      </c>
      <c r="C21" s="2" t="inlineStr">
        <is>
          <t>(KOSHA 결과 없음)</t>
        </is>
      </c>
      <c r="D21" s="2" t="inlineStr">
        <is>
          <t>-</t>
        </is>
      </c>
      <c r="E21" s="2" t="inlineStr">
        <is>
          <t>-</t>
        </is>
      </c>
      <c r="F21" s="2" t="inlineStr">
        <is>
          <t>-</t>
        </is>
      </c>
      <c r="G21" s="2" t="inlineStr">
        <is>
          <t>-</t>
        </is>
      </c>
      <c r="H21" s="2" t="inlineStr">
        <is>
          <t>첨가제(아크릴 공중합체), KOSHA 결과 없음</t>
        </is>
      </c>
    </row>
    <row r="22">
      <c r="A22" s="2" t="inlineStr">
        <is>
          <t>SONOX626</t>
        </is>
      </c>
      <c r="B22" s="2" t="inlineStr">
        <is>
          <t>26741-53-7</t>
        </is>
      </c>
      <c r="C22" s="2" t="inlineStr">
        <is>
          <t>3,9-비스(2,4-비스(1.1-다이메틸에틸)펜옥시) 2,4,8,10-테트라옥사-3,9- 디포스파스피로(5.5...</t>
        </is>
      </c>
      <c r="D22" s="2" t="inlineStr">
        <is>
          <t>급성 독성(경피) : 구분4; 만성 수생환경 유해성 : 구분3</t>
        </is>
      </c>
      <c r="E22" s="2" t="inlineStr">
        <is>
          <t>H312 H412</t>
        </is>
      </c>
      <c r="F22" s="2" t="inlineStr">
        <is>
          <t>-</t>
        </is>
      </c>
      <c r="G22" s="2" t="inlineStr">
        <is>
          <t>-</t>
        </is>
      </c>
      <c r="H22" s="2" t="inlineStr">
        <is>
          <t>산화방지제 (CAS 파일 물질명 Irganox 242는 오류)</t>
        </is>
      </c>
    </row>
    <row r="23">
      <c r="A23" s="2" t="inlineStr">
        <is>
          <t>LS-8K</t>
        </is>
      </c>
      <c r="B23" s="2" t="inlineStr">
        <is>
          <t>21645-51-2</t>
        </is>
      </c>
      <c r="C23" s="2" t="inlineStr">
        <is>
          <t>수산화알루미늄</t>
        </is>
      </c>
      <c r="D23" s="2" t="inlineStr">
        <is>
          <t>자료없음</t>
        </is>
      </c>
      <c r="E23" s="2" t="inlineStr">
        <is>
          <t>-</t>
        </is>
      </c>
      <c r="F23" s="2" t="inlineStr">
        <is>
          <t>TWA 10mg/m3알루미늄금속분진</t>
        </is>
      </c>
      <c r="G23" s="2" t="inlineStr">
        <is>
          <t>TWA 1 ㎎/㎥</t>
        </is>
      </c>
      <c r="H23" s="2" t="inlineStr">
        <is>
          <t>충전제(수산화알루미늄)</t>
        </is>
      </c>
    </row>
    <row r="24">
      <c r="A24" s="2" t="inlineStr">
        <is>
          <t>S#3000</t>
        </is>
      </c>
      <c r="B24" s="2" t="inlineStr">
        <is>
          <t>1317-65-3</t>
        </is>
      </c>
      <c r="C24" s="2" t="inlineStr">
        <is>
          <t>Limestone</t>
        </is>
      </c>
      <c r="D24" s="2" t="inlineStr">
        <is>
          <t>자료없음</t>
        </is>
      </c>
      <c r="E24" s="2" t="inlineStr">
        <is>
          <t>-</t>
        </is>
      </c>
      <c r="F24" s="2" t="inlineStr">
        <is>
          <t>TWA 10mg/m3석회석(Lime stone)</t>
        </is>
      </c>
      <c r="G24" s="2" t="inlineStr">
        <is>
          <t>-</t>
        </is>
      </c>
      <c r="H24" s="2" t="inlineStr">
        <is>
          <t>충전제(석회석), CAS 파일: S3000</t>
        </is>
      </c>
    </row>
    <row r="25">
      <c r="A25" s="2" t="inlineStr">
        <is>
          <t>SN7000</t>
        </is>
      </c>
      <c r="B25" s="2" t="inlineStr">
        <is>
          <t>1317-65-3</t>
        </is>
      </c>
      <c r="C25" s="2" t="inlineStr">
        <is>
          <t>Limestone</t>
        </is>
      </c>
      <c r="D25" s="2" t="inlineStr">
        <is>
          <t>자료없음</t>
        </is>
      </c>
      <c r="E25" s="2" t="inlineStr">
        <is>
          <t>-</t>
        </is>
      </c>
      <c r="F25" s="2" t="inlineStr">
        <is>
          <t>TWA 10mg/m3석회석(Lime stone)</t>
        </is>
      </c>
      <c r="G25" s="2" t="inlineStr">
        <is>
          <t>-</t>
        </is>
      </c>
      <c r="H25" s="2" t="inlineStr">
        <is>
          <t>충전제(석회석)</t>
        </is>
      </c>
    </row>
    <row r="26">
      <c r="A26" s="2" t="inlineStr">
        <is>
          <t>KCB-02</t>
        </is>
      </c>
      <c r="B26" s="2" t="inlineStr">
        <is>
          <t>13462-86-7</t>
        </is>
      </c>
      <c r="C26" s="2" t="inlineStr">
        <is>
          <t>Barite (Ba(SO4))</t>
        </is>
      </c>
      <c r="D26" s="2" t="inlineStr">
        <is>
          <t>자료없음</t>
        </is>
      </c>
      <c r="E26" s="2" t="inlineStr">
        <is>
          <t>-</t>
        </is>
      </c>
      <c r="F26" s="2" t="inlineStr">
        <is>
          <t>-</t>
        </is>
      </c>
      <c r="G26" s="2" t="inlineStr">
        <is>
          <t>-</t>
        </is>
      </c>
      <c r="H26" s="2" t="inlineStr">
        <is>
          <t>충전제(바라이트)</t>
        </is>
      </c>
    </row>
    <row r="27">
      <c r="A27" s="2" t="inlineStr">
        <is>
          <t>FR-767</t>
        </is>
      </c>
      <c r="B27" s="2" t="inlineStr">
        <is>
          <t>13463-67-7</t>
        </is>
      </c>
      <c r="C27" s="2" t="inlineStr">
        <is>
          <t>이산화티타늄</t>
        </is>
      </c>
      <c r="D27" s="2" t="inlineStr">
        <is>
          <t>발암성 : 구분2; 특정표적장기 독성(반복 노출) : 구분1</t>
        </is>
      </c>
      <c r="E27" s="2" t="inlineStr">
        <is>
          <t>H351 H372</t>
        </is>
      </c>
      <c r="F27" s="2" t="inlineStr">
        <is>
          <t>TWA 10mg/m3발암성 2</t>
        </is>
      </c>
      <c r="G27" s="2" t="inlineStr">
        <is>
          <t>TWA 10 ㎎/㎥</t>
        </is>
      </c>
      <c r="H27" s="2" t="inlineStr">
        <is>
          <t>안료(이산화티타늄)</t>
        </is>
      </c>
    </row>
    <row r="28">
      <c r="A28" s="2" t="inlineStr">
        <is>
          <t>HI BLACK 50L</t>
        </is>
      </c>
      <c r="B28" s="2" t="inlineStr">
        <is>
          <t>1333-86-4</t>
        </is>
      </c>
      <c r="C28" s="2" t="inlineStr">
        <is>
          <t>카본블랙</t>
        </is>
      </c>
      <c r="D28" s="2" t="inlineStr">
        <is>
          <t>자기발열성 물질 및 혼합물 : 구분1; 발암성 : 구분2</t>
        </is>
      </c>
      <c r="E28" s="2" t="inlineStr">
        <is>
          <t>H251 H351</t>
        </is>
      </c>
      <c r="F28" s="2" t="inlineStr">
        <is>
          <t>TWA 3.5mg/m3발암성 2, 흡입성(고시 제2020-48호)</t>
        </is>
      </c>
      <c r="G28" s="2" t="inlineStr">
        <is>
          <t>TWA 3 ㎎/㎥</t>
        </is>
      </c>
      <c r="H28" s="2" t="inlineStr">
        <is>
          <t>안료(카본블랙) — CAS 파일 57455-37-5는 오류 (사용자 확인)</t>
        </is>
      </c>
    </row>
    <row r="29">
      <c r="A29" s="2" t="inlineStr">
        <is>
          <t>RED 115</t>
        </is>
      </c>
      <c r="B29" s="2" t="inlineStr">
        <is>
          <t>1309-37-1</t>
        </is>
      </c>
      <c r="C29" s="2" t="inlineStr">
        <is>
          <t>산화철</t>
        </is>
      </c>
      <c r="D29" s="2" t="inlineStr">
        <is>
          <t>특정표적장기 독성(1회 노출) : 구분3(호흡기 자극); 특정표적장기 독성(반복 노출) : 구분1</t>
        </is>
      </c>
      <c r="E29" s="2" t="inlineStr">
        <is>
          <t>H335 H372</t>
        </is>
      </c>
      <c r="F29" s="2" t="inlineStr">
        <is>
          <t>TWA 5mg/m3</t>
        </is>
      </c>
      <c r="G29" s="2" t="inlineStr">
        <is>
          <t>TWA 5 ㎎/㎥</t>
        </is>
      </c>
      <c r="H29" s="2" t="inlineStr">
        <is>
          <t>안료(산화철)</t>
        </is>
      </c>
    </row>
    <row r="30">
      <c r="A30" s="2" t="inlineStr">
        <is>
          <t>YELLOW 4000</t>
        </is>
      </c>
      <c r="B30" s="2" t="inlineStr">
        <is>
          <t>5567-15-7</t>
        </is>
      </c>
      <c r="C30" s="2" t="inlineStr">
        <is>
          <t>C.I. 색소 황색 83(C.I. PIGMENT YELLOW 83)</t>
        </is>
      </c>
      <c r="D30" s="2" t="inlineStr">
        <is>
          <t>만성 수생환경 유해성 : 구분3</t>
        </is>
      </c>
      <c r="E30" s="2" t="inlineStr">
        <is>
          <t>H412</t>
        </is>
      </c>
      <c r="F30" s="2" t="inlineStr">
        <is>
          <t>-</t>
        </is>
      </c>
      <c r="G30" s="2" t="inlineStr">
        <is>
          <t>-</t>
        </is>
      </c>
      <c r="H30" s="2" t="inlineStr">
        <is>
          <t>안료(PY83)</t>
        </is>
      </c>
    </row>
    <row r="31">
      <c r="A31" s="2" t="inlineStr">
        <is>
          <t>YELLOW 420</t>
        </is>
      </c>
      <c r="B31" s="2" t="inlineStr">
        <is>
          <t>51274-00-1</t>
        </is>
      </c>
      <c r="C31" s="2" t="inlineStr">
        <is>
          <t>산화 철, 황색(IRON OXIDE, YELLOW)</t>
        </is>
      </c>
      <c r="D31" s="2" t="inlineStr">
        <is>
          <t>자료없음</t>
        </is>
      </c>
      <c r="E31" s="2" t="inlineStr">
        <is>
          <t>-</t>
        </is>
      </c>
      <c r="F31" s="2" t="inlineStr">
        <is>
          <t>-</t>
        </is>
      </c>
      <c r="G31" s="2" t="inlineStr">
        <is>
          <t>-</t>
        </is>
      </c>
      <c r="H31" s="2" t="inlineStr">
        <is>
          <t>안료(황색 산화철)</t>
        </is>
      </c>
    </row>
    <row r="32">
      <c r="A32" s="2" t="inlineStr">
        <is>
          <t>ORANGE 920P</t>
        </is>
      </c>
      <c r="B32" s="2" t="inlineStr">
        <is>
          <t>15793-73-4</t>
        </is>
      </c>
      <c r="C32" s="2" t="inlineStr">
        <is>
          <t>C.I. 색소 오렌지 34(C.I. PIGMENT ORANGE 34)</t>
        </is>
      </c>
      <c r="D32" s="2" t="inlineStr">
        <is>
          <t>자료없음</t>
        </is>
      </c>
      <c r="E32" s="2" t="inlineStr">
        <is>
          <t>-</t>
        </is>
      </c>
      <c r="F32" s="2" t="inlineStr">
        <is>
          <t>-</t>
        </is>
      </c>
      <c r="G32" s="2" t="inlineStr">
        <is>
          <t>-</t>
        </is>
      </c>
      <c r="H32" s="2" t="inlineStr">
        <is>
          <t>안료(PO34)</t>
        </is>
      </c>
    </row>
    <row r="33">
      <c r="A33" s="2" t="inlineStr">
        <is>
          <t>BLUE 515303</t>
        </is>
      </c>
      <c r="B33" s="2" t="inlineStr">
        <is>
          <t>147-14-8</t>
        </is>
      </c>
      <c r="C33" s="2" t="inlineStr">
        <is>
          <t>구리 프탈로시아닌</t>
        </is>
      </c>
      <c r="D33" s="2" t="inlineStr">
        <is>
          <t>자료없음</t>
        </is>
      </c>
      <c r="E33" s="2" t="inlineStr">
        <is>
          <t>-</t>
        </is>
      </c>
      <c r="F33" s="2" t="inlineStr">
        <is>
          <t>-</t>
        </is>
      </c>
      <c r="G33" s="2" t="inlineStr">
        <is>
          <t>TWA 1 ㎎/㎥</t>
        </is>
      </c>
      <c r="H33" s="2" t="inlineStr">
        <is>
          <t>안료(PB15)</t>
        </is>
      </c>
    </row>
    <row r="34">
      <c r="A34" s="2" t="inlineStr">
        <is>
          <t>VIOLET 23R</t>
        </is>
      </c>
      <c r="B34" s="2" t="inlineStr">
        <is>
          <t>6358-30-1</t>
        </is>
      </c>
      <c r="C34" s="2" t="inlineStr">
        <is>
          <t>카브아졸 다이옥사진 바이올렛(CARBAZOLE DIOXAZINE VIOLET)</t>
        </is>
      </c>
      <c r="D34" s="2" t="inlineStr">
        <is>
          <t>특정표적장기 독성(1회 노출) : 구분3(호흡기 자극)</t>
        </is>
      </c>
      <c r="E34" s="2" t="inlineStr">
        <is>
          <t>H335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안료(PV23)</t>
        </is>
      </c>
    </row>
    <row r="35">
      <c r="A35" s="2" t="inlineStr">
        <is>
          <t>MARINE BLUE 2504</t>
        </is>
      </c>
      <c r="B35" s="2" t="inlineStr">
        <is>
          <t>57455-37-5</t>
        </is>
      </c>
      <c r="C35" s="2" t="inlineStr">
        <is>
          <t>C.I. 색소 청색 29</t>
        </is>
      </c>
      <c r="D35" s="2" t="inlineStr">
        <is>
          <t>자료없음</t>
        </is>
      </c>
      <c r="E35" s="2" t="inlineStr">
        <is>
          <t>-</t>
        </is>
      </c>
      <c r="F35" s="2" t="inlineStr">
        <is>
          <t>-</t>
        </is>
      </c>
      <c r="G35" s="2" t="inlineStr">
        <is>
          <t>-</t>
        </is>
      </c>
      <c r="H35" s="2" t="inlineStr">
        <is>
          <t>안료(PB29) = MARINE BLUE H55 (사용자 확인)</t>
        </is>
      </c>
    </row>
    <row r="36">
      <c r="A36" s="2" t="inlineStr">
        <is>
          <t>REFLEXAL IV</t>
        </is>
      </c>
      <c r="B36" s="2" t="inlineStr">
        <is>
          <t>7429-90-5</t>
        </is>
      </c>
      <c r="C36" s="2" t="inlineStr">
        <is>
          <t>Aluminum</t>
        </is>
      </c>
      <c r="D36" s="2" t="inlineStr">
        <is>
          <t>인화성 고체 : 구분1; 자연발화성 고체 : 구분1; 물반응성 물질 및 혼합물 : 구분2; 특정표적장기 독성(반복 노출) : 구분2; 만성 수생환경 유해성 : 구분1</t>
        </is>
      </c>
      <c r="E36" s="2" t="inlineStr">
        <is>
          <t>H228 H250 H261 H373 H410</t>
        </is>
      </c>
      <c r="F36" s="2" t="inlineStr">
        <is>
          <t>TWA 2mg/m3알루미늄(가용성 염); TWA 10mg/m3알루미늄(금속분진); TWA 2mg/m3알루미늄(알킬); TWA 5mg/m3알루미늄(용접 흄); TWA 5mg/m3알루미늄(피로파우더)</t>
        </is>
      </c>
      <c r="G36" s="2" t="inlineStr">
        <is>
          <t>TWA 1 ㎎/㎥</t>
        </is>
      </c>
      <c r="H36" s="2" t="inlineStr">
        <is>
          <t>메탈릭(알루미늄)</t>
        </is>
      </c>
    </row>
    <row r="37">
      <c r="A37" s="2" t="inlineStr">
        <is>
          <t>PC100</t>
        </is>
      </c>
      <c r="B37" s="2" t="inlineStr">
        <is>
          <t>7429-90-5</t>
        </is>
      </c>
      <c r="C37" s="2" t="inlineStr">
        <is>
          <t>Aluminum</t>
        </is>
      </c>
      <c r="D37" s="2" t="inlineStr">
        <is>
          <t>인화성 고체 : 구분1; 자연발화성 고체 : 구분1; 물반응성 물질 및 혼합물 : 구분2; 특정표적장기 독성(반복 노출) : 구분2; 만성 수생환경 유해성 : 구분1</t>
        </is>
      </c>
      <c r="E37" s="2" t="inlineStr">
        <is>
          <t>H228 H250 H261 H373 H410</t>
        </is>
      </c>
      <c r="F37" s="2" t="inlineStr">
        <is>
          <t>TWA 2mg/m3알루미늄(가용성 염); TWA 10mg/m3알루미늄(금속분진); TWA 2mg/m3알루미늄(알킬); TWA 5mg/m3알루미늄(용접 흄); TWA 5mg/m3알루미늄(피로파우더)</t>
        </is>
      </c>
      <c r="G37" s="2" t="inlineStr">
        <is>
          <t>TWA 1 ㎎/㎥</t>
        </is>
      </c>
      <c r="H37" s="2" t="inlineStr">
        <is>
          <t>메탈릭(알루미늄), CAS 파일: PC 100</t>
        </is>
      </c>
    </row>
    <row r="38">
      <c r="A38" s="2" t="inlineStr">
        <is>
          <t>PCR 214</t>
        </is>
      </c>
      <c r="B38" s="2" t="inlineStr">
        <is>
          <t>7429-90-5</t>
        </is>
      </c>
      <c r="C38" s="2" t="inlineStr">
        <is>
          <t>Aluminum</t>
        </is>
      </c>
      <c r="D38" s="2" t="inlineStr">
        <is>
          <t>인화성 고체 : 구분1; 자연발화성 고체 : 구분1; 물반응성 물질 및 혼합물 : 구분2; 특정표적장기 독성(반복 노출) : 구분2; 만성 수생환경 유해성 : 구분1</t>
        </is>
      </c>
      <c r="E38" s="2" t="inlineStr">
        <is>
          <t>H228 H250 H261 H373 H410</t>
        </is>
      </c>
      <c r="F38" s="2" t="inlineStr">
        <is>
          <t>TWA 2mg/m3알루미늄(가용성 염); TWA 10mg/m3알루미늄(금속분진); TWA 2mg/m3알루미늄(알킬); TWA 5mg/m3알루미늄(용접 흄); TWA 5mg/m3알루미늄(피로파우더)</t>
        </is>
      </c>
      <c r="G38" s="2" t="inlineStr">
        <is>
          <t>TWA 1 ㎎/㎥</t>
        </is>
      </c>
      <c r="H38" s="2" t="inlineStr">
        <is>
          <t>메탈릭(알루미늄)</t>
        </is>
      </c>
    </row>
    <row r="39">
      <c r="A39" s="2" t="inlineStr">
        <is>
          <t>CERA-994</t>
        </is>
      </c>
      <c r="B39" s="2" t="inlineStr">
        <is>
          <t>9002-88-4</t>
        </is>
      </c>
      <c r="C39" s="2" t="inlineStr">
        <is>
          <t>폴리에틸렌(POLYETHYLENE)</t>
        </is>
      </c>
      <c r="D39" s="2" t="inlineStr">
        <is>
          <t>자료없음</t>
        </is>
      </c>
      <c r="E39" s="2" t="inlineStr">
        <is>
          <t>-</t>
        </is>
      </c>
      <c r="F39" s="2" t="inlineStr">
        <is>
          <t>-</t>
        </is>
      </c>
      <c r="G39" s="2" t="inlineStr">
        <is>
          <t>-</t>
        </is>
      </c>
      <c r="H39" s="2" t="inlineStr">
        <is>
          <t>DFA — MSDS 제외</t>
        </is>
      </c>
    </row>
    <row r="40">
      <c r="A40" s="2" t="inlineStr">
        <is>
          <t>HDK V15</t>
        </is>
      </c>
      <c r="B40" s="2" t="inlineStr">
        <is>
          <t>112945-52-5</t>
        </is>
      </c>
      <c r="C40" s="2" t="inlineStr">
        <is>
          <t>합성 무정형 실리카, 흄</t>
        </is>
      </c>
      <c r="D40" s="2" t="inlineStr">
        <is>
          <t>자료없음</t>
        </is>
      </c>
      <c r="E40" s="2" t="inlineStr">
        <is>
          <t>-</t>
        </is>
      </c>
      <c r="F40" s="2" t="inlineStr">
        <is>
          <t>TWA 10mg/m3산화규소(비결정체, 기타분진)</t>
        </is>
      </c>
      <c r="G40" s="2" t="inlineStr">
        <is>
          <t>-</t>
        </is>
      </c>
      <c r="H40" s="2" t="inlineStr">
        <is>
          <t>DFA — MSDS 제외</t>
        </is>
      </c>
    </row>
    <row r="41">
      <c r="A41" s="2" t="inlineStr">
        <is>
          <t>HC 6011</t>
        </is>
      </c>
      <c r="B41" s="2" t="inlineStr">
        <is>
          <t>114267-10-6</t>
        </is>
      </c>
      <c r="C41" s="2" t="inlineStr">
        <is>
          <t>(KOSHA 결과 없음)</t>
        </is>
      </c>
      <c r="D41" s="2" t="inlineStr">
        <is>
          <t>-</t>
        </is>
      </c>
      <c r="E41" s="2" t="inlineStr">
        <is>
          <t>-</t>
        </is>
      </c>
      <c r="F41" s="2" t="inlineStr">
        <is>
          <t>-</t>
        </is>
      </c>
      <c r="G41" s="2" t="inlineStr">
        <is>
          <t>-</t>
        </is>
      </c>
      <c r="H41" s="2">
        <f> HC6011 (띄어쓰기 차이, S/T 조제)</f>
        <v/>
      </c>
    </row>
    <row r="42">
      <c r="A42" s="2" t="inlineStr">
        <is>
          <t>BYK 368P</t>
        </is>
      </c>
      <c r="B42" s="2" t="inlineStr">
        <is>
          <t>9003-49-0</t>
        </is>
      </c>
      <c r="C42" s="2" t="inlineStr">
        <is>
          <t>폴리뷰틸 아크릴산(POLYBUTYL ACRYLATE)</t>
        </is>
      </c>
      <c r="D42" s="2" t="inlineStr">
        <is>
          <t>자료없음</t>
        </is>
      </c>
      <c r="E42" s="2" t="inlineStr">
        <is>
          <t>-</t>
        </is>
      </c>
      <c r="F42" s="2" t="inlineStr">
        <is>
          <t>-</t>
        </is>
      </c>
      <c r="G42" s="2" t="inlineStr">
        <is>
          <t>-</t>
        </is>
      </c>
      <c r="H42" s="2">
        <f> LA-100/BYK-368P/L88 (S/T 조제)</f>
        <v/>
      </c>
    </row>
    <row r="43">
      <c r="A43" s="2" t="inlineStr">
        <is>
          <t>S 3000</t>
        </is>
      </c>
      <c r="B43" s="2" t="inlineStr">
        <is>
          <t>1317-65-3</t>
        </is>
      </c>
      <c r="C43" s="2" t="inlineStr">
        <is>
          <t>Limestone</t>
        </is>
      </c>
      <c r="D43" s="2" t="inlineStr">
        <is>
          <t>자료없음</t>
        </is>
      </c>
      <c r="E43" s="2" t="inlineStr">
        <is>
          <t>-</t>
        </is>
      </c>
      <c r="F43" s="2" t="inlineStr">
        <is>
          <t>TWA 10mg/m3석회석(Lime stone)</t>
        </is>
      </c>
      <c r="G43" s="2" t="inlineStr">
        <is>
          <t>-</t>
        </is>
      </c>
      <c r="H43" s="2">
        <f> S3000 (S/T 조제)</f>
        <v/>
      </c>
    </row>
    <row r="44">
      <c r="A44" s="2" t="inlineStr">
        <is>
          <t>RB 101A</t>
        </is>
      </c>
      <c r="B44" s="2" t="inlineStr">
        <is>
          <t>(확인 필요)</t>
        </is>
      </c>
      <c r="C44" s="2" t="inlineStr">
        <is>
          <t>(KOSHA 결과 없음)</t>
        </is>
      </c>
      <c r="D44" s="2" t="inlineStr">
        <is>
          <t>-</t>
        </is>
      </c>
      <c r="E44" s="2" t="inlineStr">
        <is>
          <t>-</t>
        </is>
      </c>
      <c r="F44" s="2" t="inlineStr">
        <is>
          <t>-</t>
        </is>
      </c>
      <c r="G44" s="2" t="inlineStr">
        <is>
          <t>-</t>
        </is>
      </c>
      <c r="H44" s="2" t="inlineStr">
        <is>
          <t>스트럭처·함마톤 첨가제 — CAS 파일에 RB101A 이름만 있고 CAS 없음</t>
        </is>
      </c>
    </row>
    <row r="45">
      <c r="A45" s="2" t="inlineStr">
        <is>
          <t>101A(50%)</t>
        </is>
      </c>
      <c r="B45" s="2" t="inlineStr">
        <is>
          <t>(확인 필요)</t>
        </is>
      </c>
      <c r="C45" s="2" t="inlineStr">
        <is>
          <t>(KOSHA 결과 없음)</t>
        </is>
      </c>
      <c r="D45" s="2" t="inlineStr">
        <is>
          <t>-</t>
        </is>
      </c>
      <c r="E45" s="2" t="inlineStr">
        <is>
          <t>-</t>
        </is>
      </c>
      <c r="F45" s="2" t="inlineStr">
        <is>
          <t>-</t>
        </is>
      </c>
      <c r="G45" s="2" t="inlineStr">
        <is>
          <t>-</t>
        </is>
      </c>
      <c r="H45" s="2" t="inlineStr">
        <is>
          <t>RB 101A 50% 희석본 — 나머지 50% 확인 필요</t>
        </is>
      </c>
    </row>
    <row r="46">
      <c r="A46" s="2" t="inlineStr">
        <is>
          <t>NB 0020</t>
        </is>
      </c>
      <c r="B46" s="2" t="inlineStr">
        <is>
          <t>(확인 필요)</t>
        </is>
      </c>
      <c r="C46" s="2" t="inlineStr">
        <is>
          <t>(KOSHA 결과 없음)</t>
        </is>
      </c>
      <c r="D46" s="2" t="inlineStr">
        <is>
          <t>-</t>
        </is>
      </c>
      <c r="E46" s="2" t="inlineStr">
        <is>
          <t>-</t>
        </is>
      </c>
      <c r="F46" s="2" t="inlineStr">
        <is>
          <t>-</t>
        </is>
      </c>
      <c r="G46" s="2" t="inlineStr">
        <is>
          <t>-</t>
        </is>
      </c>
      <c r="H46" s="2" t="inlineStr">
        <is>
          <t>CAS 파일에 없음 (S/T 조제 25%)</t>
        </is>
      </c>
    </row>
    <row r="47">
      <c r="A47" s="2" t="inlineStr">
        <is>
          <t>S-160(5%)</t>
        </is>
      </c>
      <c r="B47" s="2" t="inlineStr">
        <is>
          <t>1333-86-4 (추정)</t>
        </is>
      </c>
      <c r="C47" s="2" t="inlineStr">
        <is>
          <t>(KOSHA 결과 없음)</t>
        </is>
      </c>
      <c r="D47" s="2" t="inlineStr">
        <is>
          <t>-</t>
        </is>
      </c>
      <c r="E47" s="2" t="inlineStr">
        <is>
          <t>-</t>
        </is>
      </c>
      <c r="F47" s="2" t="inlineStr">
        <is>
          <t>-</t>
        </is>
      </c>
      <c r="G47" s="2" t="inlineStr">
        <is>
          <t>-</t>
        </is>
      </c>
      <c r="H47" s="2" t="inlineStr">
        <is>
          <t>BLACK S-160(카본블랙) 5% 희석본 추정 — 나머지 95%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min="1" max="1"/>
    <col width="32" customWidth="1" min="2" max="2"/>
    <col width="24" customWidth="1" min="3" max="3"/>
    <col width="10" customWidth="1" min="4" max="4"/>
    <col width="26" customWidth="1" min="5" max="5"/>
    <col width="44" customWidth="1" min="6" max="6"/>
  </cols>
  <sheetData>
    <row r="1">
      <c r="A1" s="1" t="inlineStr">
        <is>
          <t>코드</t>
        </is>
      </c>
      <c r="B1" s="1" t="inlineStr">
        <is>
          <t>제품명</t>
        </is>
      </c>
      <c r="C1" s="1" t="inlineStr">
        <is>
          <t>수지 계열 (번호 순서용)</t>
        </is>
      </c>
      <c r="D1" s="1" t="inlineStr">
        <is>
          <t>종류</t>
        </is>
      </c>
      <c r="E1" s="1" t="inlineStr">
        <is>
          <t>상태</t>
        </is>
      </c>
      <c r="F1" s="1" t="inlineStr">
        <is>
          <t>비고</t>
        </is>
      </c>
    </row>
    <row r="2">
      <c r="A2" s="3" t="inlineStr">
        <is>
          <t>DY#1-IV021</t>
        </is>
      </c>
      <c r="B2" s="3" t="inlineStr">
        <is>
          <t>내장형 D-30871 유광</t>
        </is>
      </c>
      <c r="C2" s="3" t="inlineStr">
        <is>
          <t>에폭시·폴리에스터</t>
        </is>
      </c>
      <c r="D2" s="3" t="inlineStr">
        <is>
          <t>일반</t>
        </is>
      </c>
      <c r="E2" s="3" t="inlineStr">
        <is>
          <t>완료 (임시 103)</t>
        </is>
      </c>
      <c r="F2" s="3" t="inlineStr"/>
    </row>
    <row r="3">
      <c r="A3" s="3" t="inlineStr">
        <is>
          <t>DY#1-BL141</t>
        </is>
      </c>
      <c r="B3" s="3" t="inlineStr">
        <is>
          <t>내장형 RAL 5005 유광</t>
        </is>
      </c>
      <c r="C3" s="3" t="inlineStr">
        <is>
          <t>에폭시·폴리에스터</t>
        </is>
      </c>
      <c r="D3" s="3" t="inlineStr">
        <is>
          <t>일반</t>
        </is>
      </c>
      <c r="E3" s="3" t="inlineStr">
        <is>
          <t>완료 (번호 미정)</t>
        </is>
      </c>
      <c r="F3" s="3" t="inlineStr"/>
    </row>
    <row r="4">
      <c r="A4" s="3" t="inlineStr">
        <is>
          <t>DY#2-WH029</t>
        </is>
      </c>
      <c r="B4" s="3" t="inlineStr">
        <is>
          <t>외장형 EAGON WHITE 반광</t>
        </is>
      </c>
      <c r="C4" s="3" t="inlineStr">
        <is>
          <t>폴리에스터</t>
        </is>
      </c>
      <c r="D4" s="3" t="inlineStr">
        <is>
          <t>일반</t>
        </is>
      </c>
      <c r="E4" s="3" t="inlineStr">
        <is>
          <t>완료 (134)</t>
        </is>
      </c>
      <c r="F4" s="3" t="inlineStr"/>
    </row>
    <row r="5">
      <c r="A5" s="3" t="inlineStr">
        <is>
          <t>DY#4-BE005</t>
        </is>
      </c>
      <c r="B5" s="3" t="inlineStr">
        <is>
          <t>내장형 T/X 대림 BEIGE 반광</t>
        </is>
      </c>
      <c r="C5" s="3" t="inlineStr">
        <is>
          <t>에폭시·폴리에스터</t>
        </is>
      </c>
      <c r="D5" s="3" t="inlineStr">
        <is>
          <t>텍스처</t>
        </is>
      </c>
      <c r="E5" s="3" t="inlineStr">
        <is>
          <t>정보 수집 완료</t>
        </is>
      </c>
      <c r="F5" s="3" t="inlineStr"/>
    </row>
    <row r="6">
      <c r="A6" s="3" t="inlineStr">
        <is>
          <t>DY#4-WH004</t>
        </is>
      </c>
      <c r="B6" s="3" t="inlineStr">
        <is>
          <t>내장형 T/X HK WHITE 반광</t>
        </is>
      </c>
      <c r="C6" s="3" t="inlineStr">
        <is>
          <t>에폭시·폴리에스터</t>
        </is>
      </c>
      <c r="D6" s="3" t="inlineStr">
        <is>
          <t>텍스처</t>
        </is>
      </c>
      <c r="E6" s="3" t="inlineStr">
        <is>
          <t>정보 수집 완료</t>
        </is>
      </c>
      <c r="F6" s="3" t="inlineStr">
        <is>
          <t>RED 115 0.0035 제외</t>
        </is>
      </c>
    </row>
    <row r="7">
      <c r="A7" s="3" t="inlineStr">
        <is>
          <t>DY#4-BR025</t>
        </is>
      </c>
      <c r="B7" s="3" t="inlineStr">
        <is>
          <t>외장형 T/X PANTONE 7565U 반광</t>
        </is>
      </c>
      <c r="C7" s="3" t="inlineStr">
        <is>
          <t>폴리에스터</t>
        </is>
      </c>
      <c r="D7" s="3" t="inlineStr">
        <is>
          <t>텍스처</t>
        </is>
      </c>
      <c r="E7" s="3" t="inlineStr">
        <is>
          <t>정보 수집 완료</t>
        </is>
      </c>
      <c r="F7" s="3" t="inlineStr"/>
    </row>
    <row r="8">
      <c r="A8" s="3" t="inlineStr">
        <is>
          <t>DY#4-GY066</t>
        </is>
      </c>
      <c r="B8" s="3" t="inlineStr">
        <is>
          <t>외장형 T/X N 2.0 반광</t>
        </is>
      </c>
      <c r="C8" s="3" t="inlineStr">
        <is>
          <t>폴리에스터</t>
        </is>
      </c>
      <c r="D8" s="3" t="inlineStr">
        <is>
          <t>텍스처</t>
        </is>
      </c>
      <c r="E8" s="3" t="inlineStr">
        <is>
          <t>정보 수집 완료</t>
        </is>
      </c>
      <c r="F8" s="3" t="inlineStr"/>
    </row>
    <row r="9">
      <c r="A9" s="3" t="inlineStr">
        <is>
          <t>DY#5-SI081</t>
        </is>
      </c>
      <c r="B9" s="3" t="inlineStr">
        <is>
          <t>내장형 M/T 43818XL(C) 반광</t>
        </is>
      </c>
      <c r="C9" s="3" t="inlineStr">
        <is>
          <t>에폭시·폴리에스터(추정)</t>
        </is>
      </c>
      <c r="D9" s="3" t="inlineStr">
        <is>
          <t>메탈릭</t>
        </is>
      </c>
      <c r="E9" s="3" t="inlineStr">
        <is>
          <t>반제품 배합 필요</t>
        </is>
      </c>
      <c r="F9" s="3" t="inlineStr">
        <is>
          <t>M/T 43818XL 반제품 99.87 + REFLEXAL IV 0.25</t>
        </is>
      </c>
    </row>
    <row r="10">
      <c r="A10" s="3" t="inlineStr">
        <is>
          <t>DY#5-SI019</t>
        </is>
      </c>
      <c r="B10" s="3" t="inlineStr">
        <is>
          <t>내장형 HI SILVER 유광</t>
        </is>
      </c>
      <c r="C10" s="3" t="inlineStr">
        <is>
          <t>에폭시·폴리에스터(추정)</t>
        </is>
      </c>
      <c r="D10" s="3" t="inlineStr">
        <is>
          <t>메탈릭</t>
        </is>
      </c>
      <c r="E10" s="3" t="inlineStr">
        <is>
          <t>반제품 배합 필요</t>
        </is>
      </c>
      <c r="F10" s="3" t="inlineStr">
        <is>
          <t>HI SILVER 반제품 99.6 + PC100 0.4</t>
        </is>
      </c>
    </row>
    <row r="11">
      <c r="A11" s="3" t="inlineStr">
        <is>
          <t>DY#5-SI060</t>
        </is>
      </c>
      <c r="B11" s="3" t="inlineStr">
        <is>
          <t>외장형 M/T MS GRAY 반광</t>
        </is>
      </c>
      <c r="C11" s="3" t="inlineStr">
        <is>
          <t>폴리에스터(추정)</t>
        </is>
      </c>
      <c r="D11" s="3" t="inlineStr">
        <is>
          <t>메탈릭</t>
        </is>
      </c>
      <c r="E11" s="3" t="inlineStr">
        <is>
          <t>BASE 배합 필요</t>
        </is>
      </c>
      <c r="F11" s="3" t="inlineStr">
        <is>
          <t>MS GRAY BASE 99.92 + REFLEXAL IV 0.08</t>
        </is>
      </c>
    </row>
    <row r="12">
      <c r="A12" s="3" t="inlineStr">
        <is>
          <t>DY#5-SI095</t>
        </is>
      </c>
      <c r="B12" s="3" t="inlineStr">
        <is>
          <t>내장형 M/T RAL 9006 반광</t>
        </is>
      </c>
      <c r="C12" s="3" t="inlineStr">
        <is>
          <t>에폭시·폴리에스터</t>
        </is>
      </c>
      <c r="D12" s="3" t="inlineStr">
        <is>
          <t>메탈릭</t>
        </is>
      </c>
      <c r="E12" s="3" t="inlineStr">
        <is>
          <t>정보 수집 완료 (알루미늄 원료 없음 — 확인 필요)</t>
        </is>
      </c>
      <c r="F12" s="3" t="inlineStr">
        <is>
          <t>배합에 알루미늄 안료가 없음</t>
        </is>
      </c>
    </row>
    <row r="13">
      <c r="A13" s="3" t="inlineStr">
        <is>
          <t>DY#5-SI094</t>
        </is>
      </c>
      <c r="B13" s="3" t="inlineStr">
        <is>
          <t>내장형 호진 SILVER 반광</t>
        </is>
      </c>
      <c r="C13" s="3" t="inlineStr">
        <is>
          <t>에폭시·폴리에스터</t>
        </is>
      </c>
      <c r="D13" s="3" t="inlineStr">
        <is>
          <t>메탈릭</t>
        </is>
      </c>
      <c r="E13" s="3" t="inlineStr">
        <is>
          <t>정보 수집 완료 (알루미늄 원료 없음 — 확인 필요)</t>
        </is>
      </c>
      <c r="F13" s="3" t="inlineStr">
        <is>
          <t>배합에 알루미늄 안료가 없음</t>
        </is>
      </c>
    </row>
    <row r="14">
      <c r="A14" s="3" t="inlineStr">
        <is>
          <t>DY#3-WH003</t>
        </is>
      </c>
      <c r="B14" s="3" t="inlineStr">
        <is>
          <t>내장형 S/T WHITE 반광</t>
        </is>
      </c>
      <c r="C14" s="3" t="inlineStr">
        <is>
          <t>에폭시·폴리에스터</t>
        </is>
      </c>
      <c r="D14" s="3" t="inlineStr">
        <is>
          <t>스트럭처</t>
        </is>
      </c>
      <c r="E14" s="3" t="inlineStr">
        <is>
          <t>조제 배합 필요</t>
        </is>
      </c>
      <c r="F14" s="3" t="inlineStr">
        <is>
          <t>반제품(배합 있음) 99 + S/T 조제 0.8 / MARINE BLUE 2504 0.0057 제외</t>
        </is>
      </c>
    </row>
    <row r="15">
      <c r="A15" s="3" t="inlineStr">
        <is>
          <t>DY#3-IV023</t>
        </is>
      </c>
      <c r="B15" s="3" t="inlineStr">
        <is>
          <t>내장형 S/T RAL 9010 반광</t>
        </is>
      </c>
      <c r="C15" s="3" t="inlineStr">
        <is>
          <t>에폭시·폴리에스터</t>
        </is>
      </c>
      <c r="D15" s="3" t="inlineStr">
        <is>
          <t>스트럭처</t>
        </is>
      </c>
      <c r="E15" s="3" t="inlineStr">
        <is>
          <t>정보 수집 완료 (KER3005K 확인 필요)</t>
        </is>
      </c>
      <c r="F15" s="3" t="inlineStr">
        <is>
          <t>RED 115 0.008 제외</t>
        </is>
      </c>
    </row>
    <row r="16">
      <c r="A16" s="3" t="inlineStr">
        <is>
          <t>DY#3-BR003</t>
        </is>
      </c>
      <c r="B16" s="3" t="inlineStr">
        <is>
          <t>외장형 S/T EM120K 반광</t>
        </is>
      </c>
      <c r="C16" s="3" t="inlineStr">
        <is>
          <t>폴리에스터</t>
        </is>
      </c>
      <c r="D16" s="3" t="inlineStr">
        <is>
          <t>스트럭처</t>
        </is>
      </c>
      <c r="E16" s="3" t="inlineStr">
        <is>
          <t>정보 수집 완료</t>
        </is>
      </c>
      <c r="F16" s="3" t="inlineStr"/>
    </row>
    <row r="17">
      <c r="A17" s="3" t="inlineStr">
        <is>
          <t>DY#3-BL011</t>
        </is>
      </c>
      <c r="B17" s="3" t="inlineStr">
        <is>
          <t>외장형 S/T RAL 5003 반광</t>
        </is>
      </c>
      <c r="C17" s="3" t="inlineStr">
        <is>
          <t>폴리에스터(추정)</t>
        </is>
      </c>
      <c r="D17" s="3" t="inlineStr">
        <is>
          <t>스트럭처</t>
        </is>
      </c>
      <c r="E17" s="3" t="inlineStr">
        <is>
          <t>베이스·조제 배합 필요</t>
        </is>
      </c>
      <c r="F17" s="3" t="inlineStr">
        <is>
          <t>S/T 베이스 99 + 조제 1</t>
        </is>
      </c>
    </row>
    <row r="18">
      <c r="A18" s="3" t="inlineStr">
        <is>
          <t>DY#6-BE001</t>
        </is>
      </c>
      <c r="B18" s="3" t="inlineStr">
        <is>
          <t>내장형 함마톤 BEIGE 유광</t>
        </is>
      </c>
      <c r="C18" s="3" t="inlineStr">
        <is>
          <t>에폭시·폴리에스터</t>
        </is>
      </c>
      <c r="D18" s="3" t="inlineStr">
        <is>
          <t>함마톤</t>
        </is>
      </c>
      <c r="E18" s="3" t="inlineStr">
        <is>
          <t>첨가제 확인 필요</t>
        </is>
      </c>
      <c r="F18" s="3" t="inlineStr">
        <is>
          <t>베이지 베이스(배합 있음) 99 + 101A(50%) 0.44 + S-160(5%) 0.58 / HI BLACK 0.0032 제외</t>
        </is>
      </c>
    </row>
    <row r="19">
      <c r="A19" s="3" t="inlineStr">
        <is>
          <t>DY#6-BE003</t>
        </is>
      </c>
      <c r="B19" s="3" t="inlineStr">
        <is>
          <t>내장형 함마톤 L/BEIGE 유광</t>
        </is>
      </c>
      <c r="C19" s="3" t="inlineStr">
        <is>
          <t>에폭시·폴리에스터</t>
        </is>
      </c>
      <c r="D19" s="3" t="inlineStr">
        <is>
          <t>함마톤</t>
        </is>
      </c>
      <c r="E19" s="3" t="inlineStr">
        <is>
          <t>첨가제 확인 필요</t>
        </is>
      </c>
      <c r="F19" s="3" t="inlineStr">
        <is>
          <t>베이지 베이스(BE001과 같음) 99 + 101A(50%) 0.22 + S-160(5%) 0.42</t>
        </is>
      </c>
    </row>
    <row r="20">
      <c r="A20" s="3" t="inlineStr">
        <is>
          <t>DY#6-GY021</t>
        </is>
      </c>
      <c r="B20" s="3" t="inlineStr">
        <is>
          <t>외장형 함마톤 001 GRAY 유광</t>
        </is>
      </c>
      <c r="C20" s="3" t="inlineStr">
        <is>
          <t>폴리에스터</t>
        </is>
      </c>
      <c r="D20" s="3" t="inlineStr">
        <is>
          <t>함마톤</t>
        </is>
      </c>
      <c r="E20" s="3" t="inlineStr">
        <is>
          <t>첨가제 확인 필요</t>
        </is>
      </c>
      <c r="F20" s="3" t="inlineStr">
        <is>
          <t>001 베이스(배합 있음) 99.45 + 101A(50%) 0.2 + S-160(5%) 0.5 / 작업지시서 GARY → GRAY (사용자 확인)</t>
        </is>
      </c>
    </row>
    <row r="21">
      <c r="A21" s="3" t="inlineStr">
        <is>
          <t>(조제) 내장형 STRUCTURE 조제</t>
        </is>
      </c>
      <c r="B21" s="3" t="inlineStr">
        <is>
          <t>S/T용 조제 (2013)</t>
        </is>
      </c>
      <c r="C21" s="3" t="inlineStr">
        <is>
          <t>-</t>
        </is>
      </c>
      <c r="D21" s="3" t="inlineStr">
        <is>
          <t>조제</t>
        </is>
      </c>
      <c r="E21" s="3" t="inlineStr">
        <is>
          <t>RB 101A·NB 0020 확인 필요</t>
        </is>
      </c>
      <c r="F21" s="3" t="inlineStr">
        <is>
          <t>HC 6011 40, BYK 368P 0.4, RB 101A 9, NB 0020 25, S 3000 25 (합 99.4)</t>
        </is>
      </c>
    </row>
    <row r="22">
      <c r="A22" s="3" t="inlineStr">
        <is>
          <t>SI092 (파일 안 코드 DY#5-SI043)</t>
        </is>
      </c>
      <c r="B22" s="3" t="inlineStr">
        <is>
          <t>외장형 SUPER SILVER 유광 반제품</t>
        </is>
      </c>
      <c r="C22" s="3" t="inlineStr">
        <is>
          <t>폴리에스터(추정)</t>
        </is>
      </c>
      <c r="D22" s="3" t="inlineStr">
        <is>
          <t>메탈릭</t>
        </is>
      </c>
      <c r="E22" s="3" t="inlineStr">
        <is>
          <t>반제품 배합·코드 확인 필요</t>
        </is>
      </c>
      <c r="F22" s="3" t="inlineStr">
        <is>
          <t>한빛 SILVER 반제품 96 + PCR 214 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2026-10-14T00:17:52Z</dcterms:created>
  <dcterms:modified xmlns:dcterms="http://purl.org/dc/terms/" xmlns:xsi="http://www.w3.org/2001/XMLSchema-instance" xsi:type="dcterms:W3CDTF">2026-10-14T00:17:52Z</dcterms:modified>
</cp:coreProperties>
</file>